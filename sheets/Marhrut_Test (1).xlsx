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шрут_Шаблон" sheetId="1" r:id="rId5"/>
    <sheet state="visible" name="Логи водіїв" sheetId="2" r:id="rId6"/>
    <sheet state="visible" name="Маршрут_1" sheetId="3" r:id="rId7"/>
    <sheet state="visible" name="Маршрут_2" sheetId="4" r:id="rId8"/>
    <sheet state="visible" name="Маршрут_3" sheetId="5" r:id="rId9"/>
    <sheet state="visible" name="Відправка_Шаблон" sheetId="6" r:id="rId10"/>
    <sheet state="visible" name="Відправка_1" sheetId="7" r:id="rId11"/>
    <sheet state="visible" name="Відправка_2" sheetId="8" r:id="rId12"/>
    <sheet state="visible" name="Відправка_3" sheetId="9" r:id="rId13"/>
    <sheet state="visible" name="Витрати_Шаблон" sheetId="10" r:id="rId14"/>
    <sheet state="visible" name="Витрати_1" sheetId="11" r:id="rId15"/>
    <sheet state="visible" name="Витрати_2" sheetId="12" r:id="rId16"/>
    <sheet state="visible" name="Витрати_3" sheetId="13" r:id="rId17"/>
    <sheet state="visible" name="Зведення рейсів" sheetId="14" r:id="rId18"/>
  </sheets>
  <definedNames>
    <definedName hidden="1" localSheetId="0" name="_xlnm._FilterDatabase">'Маршрут_Шаблон'!$A$1:$AX$1</definedName>
    <definedName hidden="1" localSheetId="2" name="_xlnm._FilterDatabase">'Маршрут_1'!$A$1:$AX$1</definedName>
    <definedName hidden="1" localSheetId="3" name="_xlnm._FilterDatabase">'Маршрут_2'!$A$1:$AX$1</definedName>
    <definedName hidden="1" localSheetId="4" name="_xlnm._FilterDatabase">'Маршрут_3'!$A$1:$AX$1</definedName>
    <definedName hidden="1" localSheetId="5" name="_xlnm._FilterDatabase">'Відправка_Шаблон'!$A$1:$AB$1</definedName>
    <definedName hidden="1" localSheetId="6" name="_xlnm._FilterDatabase">'Відправка_1'!$A$1:$AB$1</definedName>
    <definedName hidden="1" localSheetId="7" name="_xlnm._FilterDatabase">'Відправка_2'!$A$1:$AB$1</definedName>
    <definedName hidden="1" localSheetId="8" name="_xlnm._FilterDatabase">'Відправка_3'!$A$1:$AB$1</definedName>
    <definedName hidden="1" localSheetId="9" name="_xlnm._FilterDatabase">'Витрати_Шаблон'!$A$1:$Z$1</definedName>
    <definedName hidden="1" localSheetId="10" name="_xlnm._FilterDatabase">'Витрати_1'!$A$1:$Z$1</definedName>
    <definedName hidden="1" localSheetId="11" name="_xlnm._FilterDatabase">'Витрати_2'!$A$1:$Z$1</definedName>
    <definedName hidden="1" localSheetId="12" name="_xlnm._FilterDatabase">'Витрати_3'!$A$1:$Z$1</definedName>
    <definedName hidden="1" localSheetId="13" name="_xlnm._FilterDatabase">'Зведення рейсів'!$A$1:$BA$1</definedName>
  </definedNames>
  <calcPr/>
</workbook>
</file>

<file path=xl/sharedStrings.xml><?xml version="1.0" encoding="utf-8"?>
<sst xmlns="http://schemas.openxmlformats.org/spreadsheetml/2006/main" count="928" uniqueCount="223">
  <si>
    <t>RTE_ID</t>
  </si>
  <si>
    <t>Тип запису</t>
  </si>
  <si>
    <t>Напрям</t>
  </si>
  <si>
    <t>SOURCE_SHEET</t>
  </si>
  <si>
    <t>PAX_ID / PKG_ID</t>
  </si>
  <si>
    <t>Дата створення</t>
  </si>
  <si>
    <t>Дата рейсу</t>
  </si>
  <si>
    <t>Таймінг</t>
  </si>
  <si>
    <t>AUTO_ID</t>
  </si>
  <si>
    <t>Номер авто</t>
  </si>
  <si>
    <t>Водій</t>
  </si>
  <si>
    <t>Телефон водія</t>
  </si>
  <si>
    <t>Місто</t>
  </si>
  <si>
    <t>Місце в авто</t>
  </si>
  <si>
    <t>Піб пасажира</t>
  </si>
  <si>
    <t>Телефон пасажира</t>
  </si>
  <si>
    <t>Адреса відправки</t>
  </si>
  <si>
    <t>Адреса прибуття</t>
  </si>
  <si>
    <t>Кількість місць</t>
  </si>
  <si>
    <t>Вага багажу</t>
  </si>
  <si>
    <t>Піб відправника</t>
  </si>
  <si>
    <t>Піб отримувача</t>
  </si>
  <si>
    <t>Телефон отримувача</t>
  </si>
  <si>
    <t>Адреса отримувача</t>
  </si>
  <si>
    <t>Внутрішній №</t>
  </si>
  <si>
    <t>Номер ТТН</t>
  </si>
  <si>
    <t>Опис посилки</t>
  </si>
  <si>
    <t>Кг посилки</t>
  </si>
  <si>
    <t>Сума</t>
  </si>
  <si>
    <t>Валюта</t>
  </si>
  <si>
    <t>Завдаток</t>
  </si>
  <si>
    <t>Валюта завдатку</t>
  </si>
  <si>
    <t>Форма оплати</t>
  </si>
  <si>
    <t>Статус оплати</t>
  </si>
  <si>
    <t>Борг</t>
  </si>
  <si>
    <t>Примітка оплати</t>
  </si>
  <si>
    <t>Статус</t>
  </si>
  <si>
    <t>Статус CRM</t>
  </si>
  <si>
    <t>Тег</t>
  </si>
  <si>
    <t>Рейтинг водія</t>
  </si>
  <si>
    <t>Коментар водія</t>
  </si>
  <si>
    <t>Рейтинг менеджера</t>
  </si>
  <si>
    <t>Коментар менеджера</t>
  </si>
  <si>
    <t>Примітка</t>
  </si>
  <si>
    <t>Примітка СМС</t>
  </si>
  <si>
    <t>CLI_ID</t>
  </si>
  <si>
    <t>DATE_ARCHIVE</t>
  </si>
  <si>
    <t>ARCHIVED_BY</t>
  </si>
  <si>
    <t>ARCHIVE_REASON</t>
  </si>
  <si>
    <t>ARCHIVE_ID</t>
  </si>
  <si>
    <t>RTE-20250610-C1M4</t>
  </si>
  <si>
    <t>Пасажир</t>
  </si>
  <si>
    <t>УК → ЄВ</t>
  </si>
  <si>
    <t>Цюріх</t>
  </si>
  <si>
    <t>PAX-20250606-A1B2</t>
  </si>
  <si>
    <t>06.06.2025 10:00</t>
  </si>
  <si>
    <t>10.06.2025</t>
  </si>
  <si>
    <t>ранок</t>
  </si>
  <si>
    <t>AUTO-01</t>
  </si>
  <si>
    <t>АВТ-01</t>
  </si>
  <si>
    <t>Шевченко Олег</t>
  </si>
  <si>
    <t>+380991234567</t>
  </si>
  <si>
    <t>A1</t>
  </si>
  <si>
    <t>Іваненко Іван</t>
  </si>
  <si>
    <t>+380991111111</t>
  </si>
  <si>
    <t>вул. Хрещатик 1, Київ</t>
  </si>
  <si>
    <t>Hauptstrasse 5, Zürich</t>
  </si>
  <si>
    <t>1</t>
  </si>
  <si>
    <t>5</t>
  </si>
  <si>
    <t>200</t>
  </si>
  <si>
    <t>CHF</t>
  </si>
  <si>
    <t>1000</t>
  </si>
  <si>
    <t>UAH</t>
  </si>
  <si>
    <t>Готівка</t>
  </si>
  <si>
    <t>Частково</t>
  </si>
  <si>
    <t>100</t>
  </si>
  <si>
    <t>завдаток 1000 UAH</t>
  </si>
  <si>
    <t>Підтверджено</t>
  </si>
  <si>
    <t>Активний</t>
  </si>
  <si>
    <t>VIP</t>
  </si>
  <si>
    <t>Чудовий водій</t>
  </si>
  <si>
    <t>Все добре</t>
  </si>
  <si>
    <t>Дата</t>
  </si>
  <si>
    <t>Час</t>
  </si>
  <si>
    <t>Маршрут</t>
  </si>
  <si>
    <t>ID запису</t>
  </si>
  <si>
    <t>Тип</t>
  </si>
  <si>
    <t>Причина</t>
  </si>
  <si>
    <t>Телефон</t>
  </si>
  <si>
    <t>Степан</t>
  </si>
  <si>
    <t>Маршрут_1</t>
  </si>
  <si>
    <t>PAX_20260331_171544</t>
  </si>
  <si>
    <t>completed</t>
  </si>
  <si>
    <t>pending</t>
  </si>
  <si>
    <t>Відміна</t>
  </si>
  <si>
    <t>PAX-20260309-4P7</t>
  </si>
  <si>
    <t>2026-03-11T07:00:00.000Z</t>
  </si>
  <si>
    <t>Сніжана Струшинська</t>
  </si>
  <si>
    <t>Львів</t>
  </si>
  <si>
    <t>Bratislava Podzahradna 19</t>
  </si>
  <si>
    <t>EUR</t>
  </si>
  <si>
    <t>Оплачено</t>
  </si>
  <si>
    <t>Маршрут_Цюріх</t>
  </si>
  <si>
    <t>Посилка</t>
  </si>
  <si>
    <t>УК→ЄВ</t>
  </si>
  <si>
    <t>2026-03-17T07:00:00.000Z</t>
  </si>
  <si>
    <t>Цюрих — Parking Theater 11, Dorflistrasse 90, 8050 Zürich</t>
  </si>
  <si>
    <t>Тіна Кароль і</t>
  </si>
  <si>
    <t xml:space="preserve">Коробка і сумка </t>
  </si>
  <si>
    <t>Новий</t>
  </si>
  <si>
    <t>Степан тестов</t>
  </si>
  <si>
    <t>Бердичів</t>
  </si>
  <si>
    <t>Жмеринка</t>
  </si>
  <si>
    <t>тест</t>
  </si>
  <si>
    <t>Женева</t>
  </si>
  <si>
    <t>Маршрут_Женева</t>
  </si>
  <si>
    <t>ntcn</t>
  </si>
  <si>
    <t>женева</t>
  </si>
  <si>
    <t>олег</t>
  </si>
  <si>
    <t>ау</t>
  </si>
  <si>
    <t>тетс</t>
  </si>
  <si>
    <t>Оптимістичний</t>
  </si>
  <si>
    <t>DISPATCH_ID</t>
  </si>
  <si>
    <t>ID_смарт клієнта</t>
  </si>
  <si>
    <t>Телефон відправника</t>
  </si>
  <si>
    <t>Вага</t>
  </si>
  <si>
    <t>Фото посилки</t>
  </si>
  <si>
    <t>PKG_ID</t>
  </si>
  <si>
    <t>DSP-20250610-001</t>
  </si>
  <si>
    <t>10.06.2025 08:00</t>
  </si>
  <si>
    <t>CLI-001</t>
  </si>
  <si>
    <t>69140592</t>
  </si>
  <si>
    <t>Петренко Марія</t>
  </si>
  <si>
    <t>+41791234567</t>
  </si>
  <si>
    <t>ВН-003</t>
  </si>
  <si>
    <t>2.5</t>
  </si>
  <si>
    <t>Документи</t>
  </si>
  <si>
    <t>є фото</t>
  </si>
  <si>
    <t>150</t>
  </si>
  <si>
    <t>0</t>
  </si>
  <si>
    <t>PKG-20250610-D5E6</t>
  </si>
  <si>
    <t>Іваненко Іван1</t>
  </si>
  <si>
    <t>Іваненко Іван2</t>
  </si>
  <si>
    <t>Іваненко Іван3</t>
  </si>
  <si>
    <t>EXP_ID</t>
  </si>
  <si>
    <t>Аванс готівка</t>
  </si>
  <si>
    <t>Валюта авансу готівка</t>
  </si>
  <si>
    <t>Аванс картка</t>
  </si>
  <si>
    <t>Валюта авансу картка</t>
  </si>
  <si>
    <t>Залишок авансу</t>
  </si>
  <si>
    <t>Бензин</t>
  </si>
  <si>
    <t>Їжа</t>
  </si>
  <si>
    <t>Паркування</t>
  </si>
  <si>
    <t>Толл на дорозі</t>
  </si>
  <si>
    <t>Штраф</t>
  </si>
  <si>
    <t>Митниця</t>
  </si>
  <si>
    <t>Поповнення рахунку</t>
  </si>
  <si>
    <t>Інше</t>
  </si>
  <si>
    <t>Опис інше</t>
  </si>
  <si>
    <t>Фото чеків</t>
  </si>
  <si>
    <t>Валюта витрат</t>
  </si>
  <si>
    <t>Всього витрат</t>
  </si>
  <si>
    <t>Чайові</t>
  </si>
  <si>
    <t>Валюта чайових</t>
  </si>
  <si>
    <t>EXP-20250610-001</t>
  </si>
  <si>
    <t>2000</t>
  </si>
  <si>
    <t>500</t>
  </si>
  <si>
    <t>300</t>
  </si>
  <si>
    <t>450</t>
  </si>
  <si>
    <t>120</t>
  </si>
  <si>
    <t>50</t>
  </si>
  <si>
    <t>80</t>
  </si>
  <si>
    <t>30</t>
  </si>
  <si>
    <t>паркомат центр</t>
  </si>
  <si>
    <t>730</t>
  </si>
  <si>
    <t>Пас. UAH</t>
  </si>
  <si>
    <t>Пас. CHF</t>
  </si>
  <si>
    <t>Пас. EUR</t>
  </si>
  <si>
    <t>Пас. PLN</t>
  </si>
  <si>
    <t>Пас. CZK</t>
  </si>
  <si>
    <t>Пас. USD</t>
  </si>
  <si>
    <t>Пос. UAH</t>
  </si>
  <si>
    <t>Пос. CHF</t>
  </si>
  <si>
    <t>Пос. EUR</t>
  </si>
  <si>
    <t>Пос. PLN</t>
  </si>
  <si>
    <t>Пос. CZK</t>
  </si>
  <si>
    <t>Пос. USD</t>
  </si>
  <si>
    <t>Відпр. UAH</t>
  </si>
  <si>
    <t>Відпр. CHF</t>
  </si>
  <si>
    <t>Відпр. EUR</t>
  </si>
  <si>
    <t>Відпр. PLN</t>
  </si>
  <si>
    <t>Відпр. CZK</t>
  </si>
  <si>
    <t>Відпр. USD</t>
  </si>
  <si>
    <t>Чайові UAH</t>
  </si>
  <si>
    <t>Чайові CHF</t>
  </si>
  <si>
    <t>Чайові EUR</t>
  </si>
  <si>
    <t>Дохід UAH</t>
  </si>
  <si>
    <t>Дохід CHF</t>
  </si>
  <si>
    <t>Дохід EUR</t>
  </si>
  <si>
    <t>Дохід PLN</t>
  </si>
  <si>
    <t>Дохід CZK</t>
  </si>
  <si>
    <t>Дохід USD</t>
  </si>
  <si>
    <t>Витр. UAH</t>
  </si>
  <si>
    <t>Витр. CHF</t>
  </si>
  <si>
    <t>Витр. EUR</t>
  </si>
  <si>
    <t>Витр. PLN</t>
  </si>
  <si>
    <t>Витр. CZK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</si>
  <si>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</si>
  <si>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</si>
  <si>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</si>
  <si>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</si>
  <si>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</si>
  <si>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</si>
  <si>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Закрив</t>
  </si>
  <si>
    <t>Дата закриття</t>
  </si>
  <si>
    <t>Лог змін</t>
  </si>
  <si>
    <t>5000</t>
  </si>
  <si>
    <t>800</t>
  </si>
  <si>
    <t>8000</t>
  </si>
  <si>
    <t>1300</t>
  </si>
  <si>
    <t>5500</t>
  </si>
  <si>
    <t>70</t>
  </si>
  <si>
    <t>Відкритий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</si>
</sst>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b/>
      <color rgb="FFFFFFFF"/>
      <name val="Calibri"/>
      <scheme val="minor"/>
    </font>
    <font>
      <color theme="1"/>
      <name val="Calibri"/>
      <scheme val="minor"/>
    </font>
    <font>
      <b/>
      <sz val="10.0"/>
      <color theme="1"/>
      <name val="Arial"/>
    </font>
    <font>
      <b/>
      <color rgb="FFFFC107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5D4037"/>
        <bgColor rgb="FF5D4037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1A5276"/>
        <bgColor rgb="FF1A5276"/>
      </patternFill>
    </fill>
    <fill>
      <patternFill patternType="solid">
        <fgColor rgb="FFF9F9F9"/>
        <bgColor rgb="FFF9F9F9"/>
      </patternFill>
    </fill>
    <fill>
      <patternFill patternType="solid">
        <fgColor rgb="FF1A1A2E"/>
        <bgColor rgb="FF1A1A2E"/>
      </patternFill>
    </fill>
    <fill>
      <patternFill patternType="solid">
        <fgColor rgb="FFFFFBF0"/>
        <bgColor rgb="FFFFFBF0"/>
      </patternFill>
    </fill>
    <fill>
      <patternFill patternType="solid">
        <fgColor rgb="FF7B3F00"/>
        <bgColor rgb="FF7B3F00"/>
      </patternFill>
    </fill>
    <fill>
      <patternFill patternType="solid">
        <fgColor rgb="FF1A3A4A"/>
        <bgColor rgb="FF1A3A4A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vertical="center"/>
    </xf>
    <xf borderId="0" fillId="12" fontId="3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2" fillId="13" fontId="4" numFmtId="0" xfId="0" applyBorder="1" applyFill="1" applyFont="1"/>
    <xf borderId="2" fillId="13" fontId="4" numFmtId="0" xfId="0" applyAlignment="1" applyBorder="1" applyFont="1">
      <alignment readingOrder="0"/>
    </xf>
    <xf borderId="2" fillId="13" fontId="4" numFmtId="164" xfId="0" applyAlignment="1" applyBorder="1" applyFont="1" applyNumberFormat="1">
      <alignment readingOrder="0"/>
    </xf>
    <xf borderId="2" fillId="13" fontId="6" numFmtId="0" xfId="0" applyAlignment="1" applyBorder="1" applyFont="1">
      <alignment readingOrder="0"/>
    </xf>
    <xf borderId="0" fillId="0" fontId="4" numFmtId="0" xfId="0" applyFont="1"/>
    <xf borderId="1" fillId="11" fontId="2" numFmtId="0" xfId="0" applyAlignment="1" applyBorder="1" applyFont="1">
      <alignment horizontal="center" readingOrder="0" vertical="center"/>
    </xf>
    <xf borderId="1" fillId="14" fontId="1" numFmtId="0" xfId="0" applyAlignment="1" applyBorder="1" applyFill="1" applyFont="1">
      <alignment horizontal="center" shrinkToFit="0" vertical="center" wrapText="1"/>
    </xf>
    <xf borderId="1" fillId="15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Маршрут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ршрут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ршрут_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X1" displayName="Таблиця1" name="Таблиця1" id="1">
  <autoFilter ref="$A$1:$AX$1"/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Маршрут_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X1" displayName="Таблиця2" name="Таблиця2" id="2">
  <autoFilter ref="$A$1:$AX$1"/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Маршрут_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X1" displayName="Таблиця3" name="Таблиця3" id="3">
  <autoFilter ref="$A$1:$AX$1"/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Маршрут_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1" t="s">
        <v>82</v>
      </c>
      <c r="B1" s="11" t="s">
        <v>83</v>
      </c>
      <c r="C1" s="11" t="s">
        <v>10</v>
      </c>
      <c r="D1" s="11" t="s">
        <v>84</v>
      </c>
      <c r="E1" s="11" t="s">
        <v>85</v>
      </c>
      <c r="F1" s="11" t="s">
        <v>86</v>
      </c>
      <c r="G1" s="11" t="s">
        <v>36</v>
      </c>
      <c r="H1" s="11" t="s">
        <v>87</v>
      </c>
      <c r="I1" s="11" t="s">
        <v>88</v>
      </c>
    </row>
    <row r="2">
      <c r="A2" s="12">
        <v>46112.0</v>
      </c>
      <c r="B2" s="13">
        <v>0.7235416666666666</v>
      </c>
      <c r="C2" s="14" t="s">
        <v>89</v>
      </c>
      <c r="D2" s="14" t="s">
        <v>90</v>
      </c>
      <c r="E2" s="14" t="s">
        <v>91</v>
      </c>
      <c r="F2" s="14" t="s">
        <v>51</v>
      </c>
      <c r="G2" s="14" t="s">
        <v>92</v>
      </c>
      <c r="I2" s="14">
        <v>989282.0</v>
      </c>
    </row>
    <row r="3">
      <c r="A3" s="12">
        <v>46112.0</v>
      </c>
      <c r="B3" s="13">
        <v>0.7236574074074074</v>
      </c>
      <c r="C3" s="14" t="s">
        <v>89</v>
      </c>
      <c r="D3" s="14" t="s">
        <v>90</v>
      </c>
      <c r="E3" s="14" t="s">
        <v>91</v>
      </c>
      <c r="F3" s="14" t="s">
        <v>51</v>
      </c>
      <c r="G3" s="14" t="s">
        <v>93</v>
      </c>
      <c r="H3" s="14" t="s">
        <v>94</v>
      </c>
      <c r="I3" s="14">
        <v>989282.0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14"/>
    <col customWidth="1" min="26" max="26" width="16.0"/>
    <col customWidth="1" min="27" max="27" width="20.0"/>
    <col customWidth="1" min="28" max="28" width="8.0"/>
    <col customWidth="1" min="29" max="29" width="10.14"/>
    <col customWidth="1" min="30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14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3">
      <c r="A3" s="14" t="s">
        <v>95</v>
      </c>
      <c r="B3" s="14" t="s">
        <v>51</v>
      </c>
      <c r="G3" s="14" t="s">
        <v>96</v>
      </c>
      <c r="O3" s="14" t="s">
        <v>97</v>
      </c>
      <c r="P3" s="16">
        <v>3.80639763484E11</v>
      </c>
      <c r="Q3" s="14" t="s">
        <v>98</v>
      </c>
      <c r="R3" s="14" t="s">
        <v>99</v>
      </c>
      <c r="S3" s="16">
        <v>1.0</v>
      </c>
      <c r="AC3" s="16">
        <v>100.0</v>
      </c>
      <c r="AD3" s="14" t="s">
        <v>100</v>
      </c>
      <c r="AH3" s="14" t="s">
        <v>101</v>
      </c>
      <c r="AK3" s="14" t="s">
        <v>77</v>
      </c>
    </row>
    <row r="4">
      <c r="A4" s="14" t="s">
        <v>102</v>
      </c>
      <c r="B4" s="14" t="s">
        <v>103</v>
      </c>
      <c r="C4" s="14" t="s">
        <v>104</v>
      </c>
      <c r="F4" s="14" t="s">
        <v>105</v>
      </c>
      <c r="R4" s="14" t="s">
        <v>106</v>
      </c>
      <c r="T4" s="16">
        <v>15.0</v>
      </c>
      <c r="V4" s="14" t="s">
        <v>107</v>
      </c>
      <c r="W4" s="16">
        <v>3.80639763484E11</v>
      </c>
      <c r="X4" s="14" t="s">
        <v>106</v>
      </c>
      <c r="Y4" s="16">
        <v>201.0</v>
      </c>
      <c r="Z4" s="16">
        <v>5.6000345678332E13</v>
      </c>
      <c r="AA4" s="14" t="s">
        <v>108</v>
      </c>
      <c r="AB4" s="16">
        <v>15.0</v>
      </c>
      <c r="AC4" s="16">
        <v>45.0</v>
      </c>
      <c r="AD4" s="14" t="s">
        <v>70</v>
      </c>
      <c r="AF4" s="14" t="s">
        <v>72</v>
      </c>
      <c r="AH4" s="14" t="s">
        <v>101</v>
      </c>
      <c r="AI4" s="16">
        <v>45.0</v>
      </c>
      <c r="AK4" s="14" t="s">
        <v>109</v>
      </c>
    </row>
    <row r="5">
      <c r="A5" s="17"/>
      <c r="B5" s="18" t="s">
        <v>51</v>
      </c>
      <c r="C5" s="17"/>
      <c r="D5" s="17"/>
      <c r="E5" s="18" t="s">
        <v>91</v>
      </c>
      <c r="F5" s="19">
        <v>46112.0</v>
      </c>
      <c r="G5" s="17"/>
      <c r="H5" s="17"/>
      <c r="I5" s="17"/>
      <c r="J5" s="17"/>
      <c r="K5" s="18" t="s">
        <v>89</v>
      </c>
      <c r="L5" s="17"/>
      <c r="M5" s="17"/>
      <c r="N5" s="17"/>
      <c r="O5" s="18" t="s">
        <v>110</v>
      </c>
      <c r="P5" s="18">
        <v>989282.0</v>
      </c>
      <c r="Q5" s="18" t="s">
        <v>111</v>
      </c>
      <c r="R5" s="18" t="s">
        <v>112</v>
      </c>
      <c r="S5" s="18">
        <v>1.0</v>
      </c>
      <c r="T5" s="17"/>
      <c r="U5" s="17"/>
      <c r="V5" s="17"/>
      <c r="W5" s="17"/>
      <c r="X5" s="17"/>
      <c r="Y5" s="17"/>
      <c r="Z5" s="17"/>
      <c r="AA5" s="17"/>
      <c r="AB5" s="17"/>
      <c r="AC5" s="18">
        <v>200.0</v>
      </c>
      <c r="AD5" s="18" t="s">
        <v>72</v>
      </c>
      <c r="AE5" s="17"/>
      <c r="AF5" s="17"/>
      <c r="AG5" s="17"/>
      <c r="AH5" s="17"/>
      <c r="AI5" s="17"/>
      <c r="AJ5" s="17"/>
      <c r="AK5" s="20" t="s">
        <v>93</v>
      </c>
      <c r="AL5" s="17"/>
      <c r="AM5" s="17"/>
      <c r="AN5" s="17"/>
      <c r="AO5" s="17"/>
      <c r="AP5" s="17"/>
      <c r="AQ5" s="17"/>
      <c r="AR5" s="18" t="s">
        <v>113</v>
      </c>
      <c r="AS5" s="17"/>
      <c r="AT5" s="17"/>
      <c r="AU5" s="17"/>
      <c r="AV5" s="17"/>
      <c r="AW5" s="17"/>
      <c r="AX5" s="1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14"/>
    <col customWidth="1" min="26" max="26" width="16.0"/>
    <col customWidth="1" min="27" max="27" width="20.0"/>
    <col customWidth="1" min="28" max="28" width="8.0"/>
    <col customWidth="1" min="29" max="29" width="10.14"/>
    <col customWidth="1" min="30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14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114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  <row r="3">
      <c r="A3" s="14" t="s">
        <v>115</v>
      </c>
      <c r="B3" s="14" t="s">
        <v>103</v>
      </c>
      <c r="C3" s="14" t="s">
        <v>104</v>
      </c>
      <c r="F3" s="14" t="s">
        <v>105</v>
      </c>
      <c r="R3" s="14" t="s">
        <v>106</v>
      </c>
      <c r="T3" s="16">
        <v>15.0</v>
      </c>
      <c r="V3" s="14" t="s">
        <v>107</v>
      </c>
      <c r="W3" s="16">
        <v>3.80639763484E11</v>
      </c>
      <c r="X3" s="14" t="s">
        <v>106</v>
      </c>
      <c r="Y3" s="16">
        <v>201.0</v>
      </c>
      <c r="Z3" s="16">
        <v>5.6000345678332E13</v>
      </c>
      <c r="AA3" s="14" t="s">
        <v>108</v>
      </c>
      <c r="AB3" s="16">
        <v>15.0</v>
      </c>
      <c r="AC3" s="16">
        <v>45.0</v>
      </c>
      <c r="AD3" s="14" t="s">
        <v>70</v>
      </c>
      <c r="AF3" s="14" t="s">
        <v>72</v>
      </c>
      <c r="AH3" s="14" t="s">
        <v>101</v>
      </c>
      <c r="AI3" s="16">
        <v>45.0</v>
      </c>
      <c r="AK3" s="14" t="s">
        <v>109</v>
      </c>
    </row>
    <row r="4">
      <c r="A4" s="14" t="s">
        <v>116</v>
      </c>
      <c r="B4" s="14" t="s">
        <v>51</v>
      </c>
      <c r="C4" s="14" t="s">
        <v>104</v>
      </c>
      <c r="D4" s="14" t="s">
        <v>117</v>
      </c>
      <c r="E4" s="14">
        <v>3323223.0</v>
      </c>
      <c r="F4" s="14">
        <v>3232.0</v>
      </c>
      <c r="G4" s="14">
        <v>3232.0</v>
      </c>
      <c r="H4" s="14">
        <v>3232.0</v>
      </c>
      <c r="I4" s="14">
        <v>3232.0</v>
      </c>
      <c r="J4" s="14">
        <v>332.0</v>
      </c>
      <c r="K4" s="14" t="s">
        <v>118</v>
      </c>
      <c r="L4" s="21">
        <f>38096535523</f>
        <v>38096535523</v>
      </c>
      <c r="M4" s="14" t="s">
        <v>117</v>
      </c>
      <c r="N4" s="14" t="s">
        <v>119</v>
      </c>
      <c r="AO4" s="14">
        <v>434.0</v>
      </c>
      <c r="AP4" s="14">
        <v>4343.0</v>
      </c>
      <c r="AQ4" s="14">
        <v>4334.0</v>
      </c>
      <c r="AR4" s="14" t="s">
        <v>120</v>
      </c>
      <c r="AS4" s="14">
        <v>3443.0</v>
      </c>
      <c r="AT4" s="14">
        <v>43443.0</v>
      </c>
    </row>
    <row r="21" ht="15.75" customHeight="1"/>
    <row r="22" ht="15.75" customHeight="1"/>
    <row r="23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14"/>
    <col customWidth="1" min="26" max="26" width="16.0"/>
    <col customWidth="1" min="27" max="27" width="20.0"/>
    <col customWidth="1" min="28" max="28" width="8.0"/>
    <col customWidth="1" min="29" max="29" width="10.14"/>
    <col customWidth="1" min="30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14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0" width="18.0"/>
  </cols>
  <sheetData>
    <row r="1" ht="31.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</row>
    <row r="2" ht="18.0" customHeight="1">
      <c r="A2" s="10" t="s">
        <v>50</v>
      </c>
      <c r="B2" s="10" t="s">
        <v>51</v>
      </c>
      <c r="C2" s="10" t="s">
        <v>52</v>
      </c>
      <c r="D2" s="10" t="s">
        <v>121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53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/>
      <c r="V2" s="10"/>
      <c r="W2" s="10"/>
      <c r="X2" s="10"/>
      <c r="Y2" s="10"/>
      <c r="Z2" s="10"/>
      <c r="AA2" s="10"/>
      <c r="AB2" s="10"/>
      <c r="AC2" s="10" t="s">
        <v>69</v>
      </c>
      <c r="AD2" s="10" t="s">
        <v>70</v>
      </c>
      <c r="AE2" s="10" t="s">
        <v>71</v>
      </c>
      <c r="AF2" s="10" t="s">
        <v>72</v>
      </c>
      <c r="AG2" s="10" t="s">
        <v>73</v>
      </c>
      <c r="AH2" s="10" t="s">
        <v>74</v>
      </c>
      <c r="AI2" s="10" t="s">
        <v>75</v>
      </c>
      <c r="AJ2" s="10" t="s">
        <v>76</v>
      </c>
      <c r="AK2" s="10" t="s">
        <v>77</v>
      </c>
      <c r="AL2" s="10" t="s">
        <v>78</v>
      </c>
      <c r="AM2" s="10" t="s">
        <v>79</v>
      </c>
      <c r="AN2" s="10" t="s">
        <v>68</v>
      </c>
      <c r="AO2" s="10" t="s">
        <v>80</v>
      </c>
      <c r="AP2" s="10" t="s">
        <v>68</v>
      </c>
      <c r="AQ2" s="10" t="s">
        <v>81</v>
      </c>
      <c r="AR2" s="10"/>
      <c r="AS2" s="10"/>
      <c r="AT2" s="10"/>
      <c r="AU2" s="10"/>
      <c r="AV2" s="10"/>
      <c r="AW2" s="10"/>
      <c r="AX2" s="10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122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123</v>
      </c>
      <c r="J1" s="3" t="s">
        <v>124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125</v>
      </c>
      <c r="Q1" s="4" t="s">
        <v>26</v>
      </c>
      <c r="R1" s="4" t="s">
        <v>126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127</v>
      </c>
      <c r="AB1" s="8" t="s">
        <v>43</v>
      </c>
    </row>
    <row r="2" ht="18.0" customHeight="1">
      <c r="A2" s="10" t="s">
        <v>128</v>
      </c>
      <c r="B2" s="10" t="s">
        <v>129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130</v>
      </c>
      <c r="I2" s="10" t="s">
        <v>131</v>
      </c>
      <c r="J2" s="10" t="s">
        <v>61</v>
      </c>
      <c r="K2" s="10" t="s">
        <v>63</v>
      </c>
      <c r="L2" s="10" t="s">
        <v>132</v>
      </c>
      <c r="M2" s="10" t="s">
        <v>133</v>
      </c>
      <c r="N2" s="10" t="s">
        <v>66</v>
      </c>
      <c r="O2" s="10" t="s">
        <v>134</v>
      </c>
      <c r="P2" s="10" t="s">
        <v>135</v>
      </c>
      <c r="Q2" s="10" t="s">
        <v>136</v>
      </c>
      <c r="R2" s="10" t="s">
        <v>137</v>
      </c>
      <c r="S2" s="10" t="s">
        <v>138</v>
      </c>
      <c r="T2" s="10" t="s">
        <v>70</v>
      </c>
      <c r="U2" s="10"/>
      <c r="V2" s="10"/>
      <c r="W2" s="10" t="s">
        <v>73</v>
      </c>
      <c r="X2" s="10" t="s">
        <v>101</v>
      </c>
      <c r="Y2" s="10" t="s">
        <v>139</v>
      </c>
      <c r="Z2" s="10" t="s">
        <v>78</v>
      </c>
      <c r="AA2" s="10" t="s">
        <v>140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122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123</v>
      </c>
      <c r="J1" s="3" t="s">
        <v>124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125</v>
      </c>
      <c r="Q1" s="4" t="s">
        <v>26</v>
      </c>
      <c r="R1" s="4" t="s">
        <v>126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127</v>
      </c>
      <c r="AB1" s="8" t="s">
        <v>43</v>
      </c>
    </row>
    <row r="2" ht="18.0" customHeight="1">
      <c r="A2" s="10" t="s">
        <v>128</v>
      </c>
      <c r="B2" s="10" t="s">
        <v>129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130</v>
      </c>
      <c r="I2" s="10" t="s">
        <v>131</v>
      </c>
      <c r="J2" s="10" t="s">
        <v>61</v>
      </c>
      <c r="K2" s="22" t="s">
        <v>141</v>
      </c>
      <c r="L2" s="10" t="s">
        <v>132</v>
      </c>
      <c r="M2" s="10" t="s">
        <v>133</v>
      </c>
      <c r="N2" s="10" t="s">
        <v>66</v>
      </c>
      <c r="O2" s="10" t="s">
        <v>134</v>
      </c>
      <c r="P2" s="10" t="s">
        <v>135</v>
      </c>
      <c r="Q2" s="10" t="s">
        <v>136</v>
      </c>
      <c r="R2" s="10" t="s">
        <v>137</v>
      </c>
      <c r="S2" s="10" t="s">
        <v>138</v>
      </c>
      <c r="T2" s="10" t="s">
        <v>70</v>
      </c>
      <c r="U2" s="10"/>
      <c r="V2" s="10"/>
      <c r="W2" s="10" t="s">
        <v>73</v>
      </c>
      <c r="X2" s="10" t="s">
        <v>101</v>
      </c>
      <c r="Y2" s="10" t="s">
        <v>139</v>
      </c>
      <c r="Z2" s="10" t="s">
        <v>78</v>
      </c>
      <c r="AA2" s="10" t="s">
        <v>140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122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123</v>
      </c>
      <c r="J1" s="3" t="s">
        <v>124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125</v>
      </c>
      <c r="Q1" s="4" t="s">
        <v>26</v>
      </c>
      <c r="R1" s="4" t="s">
        <v>126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127</v>
      </c>
      <c r="AB1" s="8" t="s">
        <v>43</v>
      </c>
    </row>
    <row r="2" ht="18.0" customHeight="1">
      <c r="A2" s="10" t="s">
        <v>128</v>
      </c>
      <c r="B2" s="10" t="s">
        <v>129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130</v>
      </c>
      <c r="I2" s="10" t="s">
        <v>131</v>
      </c>
      <c r="J2" s="10" t="s">
        <v>61</v>
      </c>
      <c r="K2" s="22" t="s">
        <v>142</v>
      </c>
      <c r="L2" s="10" t="s">
        <v>132</v>
      </c>
      <c r="M2" s="10" t="s">
        <v>133</v>
      </c>
      <c r="N2" s="10" t="s">
        <v>66</v>
      </c>
      <c r="O2" s="10" t="s">
        <v>134</v>
      </c>
      <c r="P2" s="10" t="s">
        <v>135</v>
      </c>
      <c r="Q2" s="10" t="s">
        <v>136</v>
      </c>
      <c r="R2" s="10" t="s">
        <v>137</v>
      </c>
      <c r="S2" s="10" t="s">
        <v>138</v>
      </c>
      <c r="T2" s="10" t="s">
        <v>70</v>
      </c>
      <c r="U2" s="10"/>
      <c r="V2" s="10"/>
      <c r="W2" s="10" t="s">
        <v>73</v>
      </c>
      <c r="X2" s="10" t="s">
        <v>101</v>
      </c>
      <c r="Y2" s="10" t="s">
        <v>139</v>
      </c>
      <c r="Z2" s="10" t="s">
        <v>78</v>
      </c>
      <c r="AA2" s="10" t="s">
        <v>140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122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123</v>
      </c>
      <c r="J1" s="3" t="s">
        <v>124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125</v>
      </c>
      <c r="Q1" s="4" t="s">
        <v>26</v>
      </c>
      <c r="R1" s="4" t="s">
        <v>126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127</v>
      </c>
      <c r="AB1" s="8" t="s">
        <v>43</v>
      </c>
    </row>
    <row r="2" ht="18.0" customHeight="1">
      <c r="A2" s="10" t="s">
        <v>128</v>
      </c>
      <c r="B2" s="10" t="s">
        <v>129</v>
      </c>
      <c r="C2" s="10" t="s">
        <v>50</v>
      </c>
      <c r="D2" s="10" t="s">
        <v>56</v>
      </c>
      <c r="E2" s="10" t="s">
        <v>58</v>
      </c>
      <c r="F2" s="10" t="s">
        <v>59</v>
      </c>
      <c r="G2" s="10" t="s">
        <v>60</v>
      </c>
      <c r="H2" s="10" t="s">
        <v>130</v>
      </c>
      <c r="I2" s="10" t="s">
        <v>131</v>
      </c>
      <c r="J2" s="10" t="s">
        <v>61</v>
      </c>
      <c r="K2" s="22" t="s">
        <v>143</v>
      </c>
      <c r="L2" s="10" t="s">
        <v>132</v>
      </c>
      <c r="M2" s="10" t="s">
        <v>133</v>
      </c>
      <c r="N2" s="10" t="s">
        <v>66</v>
      </c>
      <c r="O2" s="10" t="s">
        <v>134</v>
      </c>
      <c r="P2" s="10" t="s">
        <v>135</v>
      </c>
      <c r="Q2" s="10" t="s">
        <v>136</v>
      </c>
      <c r="R2" s="10" t="s">
        <v>137</v>
      </c>
      <c r="S2" s="10" t="s">
        <v>138</v>
      </c>
      <c r="T2" s="10" t="s">
        <v>70</v>
      </c>
      <c r="U2" s="10"/>
      <c r="V2" s="10"/>
      <c r="W2" s="10" t="s">
        <v>73</v>
      </c>
      <c r="X2" s="10" t="s">
        <v>101</v>
      </c>
      <c r="Y2" s="10" t="s">
        <v>139</v>
      </c>
      <c r="Z2" s="10" t="s">
        <v>78</v>
      </c>
      <c r="AA2" s="10" t="s">
        <v>140</v>
      </c>
      <c r="AB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23" t="s">
        <v>145</v>
      </c>
      <c r="H1" s="23" t="s">
        <v>146</v>
      </c>
      <c r="I1" s="23" t="s">
        <v>147</v>
      </c>
      <c r="J1" s="23" t="s">
        <v>148</v>
      </c>
      <c r="K1" s="23" t="s">
        <v>149</v>
      </c>
      <c r="L1" s="23" t="s">
        <v>150</v>
      </c>
      <c r="M1" s="23" t="s">
        <v>151</v>
      </c>
      <c r="N1" s="23" t="s">
        <v>152</v>
      </c>
      <c r="O1" s="23" t="s">
        <v>153</v>
      </c>
      <c r="P1" s="23" t="s">
        <v>154</v>
      </c>
      <c r="Q1" s="23" t="s">
        <v>155</v>
      </c>
      <c r="R1" s="23" t="s">
        <v>156</v>
      </c>
      <c r="S1" s="23" t="s">
        <v>157</v>
      </c>
      <c r="T1" s="23" t="s">
        <v>158</v>
      </c>
      <c r="U1" s="23" t="s">
        <v>159</v>
      </c>
      <c r="V1" s="23" t="s">
        <v>160</v>
      </c>
      <c r="W1" s="23" t="s">
        <v>161</v>
      </c>
      <c r="X1" s="23" t="s">
        <v>162</v>
      </c>
      <c r="Y1" s="23" t="s">
        <v>163</v>
      </c>
      <c r="Z1" s="8" t="s">
        <v>43</v>
      </c>
    </row>
    <row r="2" ht="18.0" customHeight="1">
      <c r="A2" s="10" t="s">
        <v>164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165</v>
      </c>
      <c r="H2" s="10" t="s">
        <v>72</v>
      </c>
      <c r="I2" s="10" t="s">
        <v>166</v>
      </c>
      <c r="J2" s="10" t="s">
        <v>70</v>
      </c>
      <c r="K2" s="10" t="s">
        <v>167</v>
      </c>
      <c r="L2" s="10" t="s">
        <v>168</v>
      </c>
      <c r="M2" s="10" t="s">
        <v>169</v>
      </c>
      <c r="N2" s="10" t="s">
        <v>170</v>
      </c>
      <c r="O2" s="10" t="s">
        <v>171</v>
      </c>
      <c r="P2" s="10" t="s">
        <v>139</v>
      </c>
      <c r="Q2" s="10" t="s">
        <v>139</v>
      </c>
      <c r="R2" s="10" t="s">
        <v>139</v>
      </c>
      <c r="S2" s="10" t="s">
        <v>172</v>
      </c>
      <c r="T2" s="10" t="s">
        <v>173</v>
      </c>
      <c r="U2" s="10" t="s">
        <v>137</v>
      </c>
      <c r="V2" s="10" t="s">
        <v>70</v>
      </c>
      <c r="W2" s="10" t="s">
        <v>174</v>
      </c>
      <c r="X2" s="10" t="s">
        <v>170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23" t="s">
        <v>145</v>
      </c>
      <c r="H1" s="23" t="s">
        <v>146</v>
      </c>
      <c r="I1" s="23" t="s">
        <v>147</v>
      </c>
      <c r="J1" s="23" t="s">
        <v>148</v>
      </c>
      <c r="K1" s="23" t="s">
        <v>149</v>
      </c>
      <c r="L1" s="23" t="s">
        <v>150</v>
      </c>
      <c r="M1" s="23" t="s">
        <v>151</v>
      </c>
      <c r="N1" s="23" t="s">
        <v>152</v>
      </c>
      <c r="O1" s="23" t="s">
        <v>153</v>
      </c>
      <c r="P1" s="23" t="s">
        <v>154</v>
      </c>
      <c r="Q1" s="23" t="s">
        <v>155</v>
      </c>
      <c r="R1" s="23" t="s">
        <v>156</v>
      </c>
      <c r="S1" s="23" t="s">
        <v>157</v>
      </c>
      <c r="T1" s="23" t="s">
        <v>158</v>
      </c>
      <c r="U1" s="23" t="s">
        <v>159</v>
      </c>
      <c r="V1" s="23" t="s">
        <v>160</v>
      </c>
      <c r="W1" s="23" t="s">
        <v>161</v>
      </c>
      <c r="X1" s="23" t="s">
        <v>162</v>
      </c>
      <c r="Y1" s="23" t="s">
        <v>163</v>
      </c>
      <c r="Z1" s="8" t="s">
        <v>43</v>
      </c>
    </row>
    <row r="2" ht="18.0" customHeight="1">
      <c r="A2" s="10" t="s">
        <v>164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165</v>
      </c>
      <c r="H2" s="10" t="s">
        <v>72</v>
      </c>
      <c r="I2" s="10" t="s">
        <v>166</v>
      </c>
      <c r="J2" s="10" t="s">
        <v>70</v>
      </c>
      <c r="K2" s="10" t="s">
        <v>167</v>
      </c>
      <c r="L2" s="10" t="s">
        <v>168</v>
      </c>
      <c r="M2" s="10" t="s">
        <v>169</v>
      </c>
      <c r="N2" s="10" t="s">
        <v>170</v>
      </c>
      <c r="O2" s="10" t="s">
        <v>171</v>
      </c>
      <c r="P2" s="10" t="s">
        <v>139</v>
      </c>
      <c r="Q2" s="10" t="s">
        <v>139</v>
      </c>
      <c r="R2" s="10" t="s">
        <v>139</v>
      </c>
      <c r="S2" s="10" t="s">
        <v>172</v>
      </c>
      <c r="T2" s="10" t="s">
        <v>173</v>
      </c>
      <c r="U2" s="10" t="s">
        <v>137</v>
      </c>
      <c r="V2" s="10" t="s">
        <v>70</v>
      </c>
      <c r="W2" s="10" t="s">
        <v>174</v>
      </c>
      <c r="X2" s="10" t="s">
        <v>170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23" t="s">
        <v>145</v>
      </c>
      <c r="H1" s="23" t="s">
        <v>146</v>
      </c>
      <c r="I1" s="23" t="s">
        <v>147</v>
      </c>
      <c r="J1" s="23" t="s">
        <v>148</v>
      </c>
      <c r="K1" s="23" t="s">
        <v>149</v>
      </c>
      <c r="L1" s="23" t="s">
        <v>150</v>
      </c>
      <c r="M1" s="23" t="s">
        <v>151</v>
      </c>
      <c r="N1" s="23" t="s">
        <v>152</v>
      </c>
      <c r="O1" s="23" t="s">
        <v>153</v>
      </c>
      <c r="P1" s="23" t="s">
        <v>154</v>
      </c>
      <c r="Q1" s="23" t="s">
        <v>155</v>
      </c>
      <c r="R1" s="23" t="s">
        <v>156</v>
      </c>
      <c r="S1" s="23" t="s">
        <v>157</v>
      </c>
      <c r="T1" s="23" t="s">
        <v>158</v>
      </c>
      <c r="U1" s="23" t="s">
        <v>159</v>
      </c>
      <c r="V1" s="23" t="s">
        <v>160</v>
      </c>
      <c r="W1" s="23" t="s">
        <v>161</v>
      </c>
      <c r="X1" s="23" t="s">
        <v>162</v>
      </c>
      <c r="Y1" s="23" t="s">
        <v>163</v>
      </c>
      <c r="Z1" s="8" t="s">
        <v>43</v>
      </c>
    </row>
    <row r="2" ht="18.0" customHeight="1">
      <c r="A2" s="10" t="s">
        <v>164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165</v>
      </c>
      <c r="H2" s="10" t="s">
        <v>72</v>
      </c>
      <c r="I2" s="10" t="s">
        <v>166</v>
      </c>
      <c r="J2" s="10" t="s">
        <v>70</v>
      </c>
      <c r="K2" s="10" t="s">
        <v>167</v>
      </c>
      <c r="L2" s="10" t="s">
        <v>168</v>
      </c>
      <c r="M2" s="10" t="s">
        <v>169</v>
      </c>
      <c r="N2" s="10" t="s">
        <v>170</v>
      </c>
      <c r="O2" s="10" t="s">
        <v>171</v>
      </c>
      <c r="P2" s="10" t="s">
        <v>139</v>
      </c>
      <c r="Q2" s="10" t="s">
        <v>139</v>
      </c>
      <c r="R2" s="10" t="s">
        <v>139</v>
      </c>
      <c r="S2" s="10" t="s">
        <v>172</v>
      </c>
      <c r="T2" s="10" t="s">
        <v>173</v>
      </c>
      <c r="U2" s="10" t="s">
        <v>137</v>
      </c>
      <c r="V2" s="10" t="s">
        <v>70</v>
      </c>
      <c r="W2" s="10" t="s">
        <v>174</v>
      </c>
      <c r="X2" s="10" t="s">
        <v>170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144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23" t="s">
        <v>145</v>
      </c>
      <c r="H1" s="23" t="s">
        <v>146</v>
      </c>
      <c r="I1" s="23" t="s">
        <v>147</v>
      </c>
      <c r="J1" s="23" t="s">
        <v>148</v>
      </c>
      <c r="K1" s="23" t="s">
        <v>149</v>
      </c>
      <c r="L1" s="23" t="s">
        <v>150</v>
      </c>
      <c r="M1" s="23" t="s">
        <v>151</v>
      </c>
      <c r="N1" s="23" t="s">
        <v>152</v>
      </c>
      <c r="O1" s="23" t="s">
        <v>153</v>
      </c>
      <c r="P1" s="23" t="s">
        <v>154</v>
      </c>
      <c r="Q1" s="23" t="s">
        <v>155</v>
      </c>
      <c r="R1" s="23" t="s">
        <v>156</v>
      </c>
      <c r="S1" s="23" t="s">
        <v>157</v>
      </c>
      <c r="T1" s="23" t="s">
        <v>158</v>
      </c>
      <c r="U1" s="23" t="s">
        <v>159</v>
      </c>
      <c r="V1" s="23" t="s">
        <v>160</v>
      </c>
      <c r="W1" s="23" t="s">
        <v>161</v>
      </c>
      <c r="X1" s="23" t="s">
        <v>162</v>
      </c>
      <c r="Y1" s="23" t="s">
        <v>163</v>
      </c>
      <c r="Z1" s="8" t="s">
        <v>43</v>
      </c>
    </row>
    <row r="2" ht="18.0" customHeight="1">
      <c r="A2" s="10" t="s">
        <v>164</v>
      </c>
      <c r="B2" s="10" t="s">
        <v>50</v>
      </c>
      <c r="C2" s="10" t="s">
        <v>56</v>
      </c>
      <c r="D2" s="10" t="s">
        <v>58</v>
      </c>
      <c r="E2" s="10" t="s">
        <v>59</v>
      </c>
      <c r="F2" s="10" t="s">
        <v>60</v>
      </c>
      <c r="G2" s="10" t="s">
        <v>165</v>
      </c>
      <c r="H2" s="10" t="s">
        <v>72</v>
      </c>
      <c r="I2" s="10" t="s">
        <v>166</v>
      </c>
      <c r="J2" s="10" t="s">
        <v>70</v>
      </c>
      <c r="K2" s="10" t="s">
        <v>167</v>
      </c>
      <c r="L2" s="10" t="s">
        <v>168</v>
      </c>
      <c r="M2" s="10" t="s">
        <v>169</v>
      </c>
      <c r="N2" s="10" t="s">
        <v>170</v>
      </c>
      <c r="O2" s="10" t="s">
        <v>171</v>
      </c>
      <c r="P2" s="10" t="s">
        <v>139</v>
      </c>
      <c r="Q2" s="10" t="s">
        <v>139</v>
      </c>
      <c r="R2" s="10" t="s">
        <v>139</v>
      </c>
      <c r="S2" s="10" t="s">
        <v>172</v>
      </c>
      <c r="T2" s="10" t="s">
        <v>173</v>
      </c>
      <c r="U2" s="10" t="s">
        <v>137</v>
      </c>
      <c r="V2" s="10" t="s">
        <v>70</v>
      </c>
      <c r="W2" s="10" t="s">
        <v>174</v>
      </c>
      <c r="X2" s="10" t="s">
        <v>170</v>
      </c>
      <c r="Y2" s="10" t="s">
        <v>70</v>
      </c>
      <c r="Z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2.0"/>
    <col customWidth="1" min="4" max="5" width="14.0"/>
    <col customWidth="1" min="6" max="6" width="18.0"/>
    <col customWidth="1" min="7" max="27" width="11.0"/>
    <col customWidth="1" min="28" max="33" width="12.0"/>
    <col customWidth="1" min="34" max="34" width="14.0"/>
    <col customWidth="1" min="35" max="35" width="16.0"/>
    <col customWidth="1" min="36" max="36" width="14.0"/>
    <col customWidth="1" min="37" max="37" width="16.0"/>
    <col customWidth="1" min="38" max="42" width="11.0"/>
    <col customWidth="1" min="43" max="48" width="13.0"/>
    <col customWidth="1" min="49" max="49" width="14.0"/>
    <col customWidth="1" min="50" max="50" width="18.0"/>
    <col customWidth="1" min="51" max="51" width="16.0"/>
    <col customWidth="1" min="52" max="53" width="22.0"/>
  </cols>
  <sheetData>
    <row r="1" ht="31.5" customHeight="1">
      <c r="A1" s="1" t="s">
        <v>0</v>
      </c>
      <c r="B1" s="2" t="s">
        <v>6</v>
      </c>
      <c r="C1" s="2" t="s">
        <v>12</v>
      </c>
      <c r="D1" s="2" t="s">
        <v>8</v>
      </c>
      <c r="E1" s="2" t="s">
        <v>9</v>
      </c>
      <c r="F1" s="2" t="s">
        <v>10</v>
      </c>
      <c r="G1" s="24" t="s">
        <v>175</v>
      </c>
      <c r="H1" s="24" t="s">
        <v>176</v>
      </c>
      <c r="I1" s="24" t="s">
        <v>177</v>
      </c>
      <c r="J1" s="24" t="s">
        <v>178</v>
      </c>
      <c r="K1" s="24" t="s">
        <v>179</v>
      </c>
      <c r="L1" s="24" t="s">
        <v>180</v>
      </c>
      <c r="M1" s="24" t="s">
        <v>181</v>
      </c>
      <c r="N1" s="24" t="s">
        <v>182</v>
      </c>
      <c r="O1" s="24" t="s">
        <v>183</v>
      </c>
      <c r="P1" s="24" t="s">
        <v>184</v>
      </c>
      <c r="Q1" s="24" t="s">
        <v>185</v>
      </c>
      <c r="R1" s="24" t="s">
        <v>186</v>
      </c>
      <c r="S1" s="24" t="s">
        <v>187</v>
      </c>
      <c r="T1" s="24" t="s">
        <v>188</v>
      </c>
      <c r="U1" s="24" t="s">
        <v>189</v>
      </c>
      <c r="V1" s="24" t="s">
        <v>190</v>
      </c>
      <c r="W1" s="24" t="s">
        <v>191</v>
      </c>
      <c r="X1" s="24" t="s">
        <v>192</v>
      </c>
      <c r="Y1" s="24" t="s">
        <v>193</v>
      </c>
      <c r="Z1" s="24" t="s">
        <v>194</v>
      </c>
      <c r="AA1" s="24" t="s">
        <v>195</v>
      </c>
      <c r="AB1" s="5" t="s">
        <v>196</v>
      </c>
      <c r="AC1" s="5" t="s">
        <v>197</v>
      </c>
      <c r="AD1" s="5" t="s">
        <v>198</v>
      </c>
      <c r="AE1" s="5" t="s">
        <v>199</v>
      </c>
      <c r="AF1" s="5" t="s">
        <v>200</v>
      </c>
      <c r="AG1" s="5" t="s">
        <v>201</v>
      </c>
      <c r="AH1" s="23" t="s">
        <v>145</v>
      </c>
      <c r="AI1" s="23" t="s">
        <v>146</v>
      </c>
      <c r="AJ1" s="23" t="s">
        <v>147</v>
      </c>
      <c r="AK1" s="23" t="s">
        <v>148</v>
      </c>
      <c r="AL1" s="23" t="s">
        <v>202</v>
      </c>
      <c r="AM1" s="23" t="s">
        <v>203</v>
      </c>
      <c r="AN1" s="23" t="s">
        <v>204</v>
      </c>
      <c r="AO1" s="23" t="s">
        <v>205</v>
      </c>
      <c r="AP1" s="23" t="s">
        <v>206</v>
      </c>
      <c r="AQ1" s="5" t="s">
        <v>207</v>
      </c>
      <c r="AR1" s="5" t="s">
        <v>208</v>
      </c>
      <c r="AS1" s="5" t="s">
        <v>209</v>
      </c>
      <c r="AT1" s="5" t="s">
        <v>210</v>
      </c>
      <c r="AU1" s="5" t="s">
        <v>211</v>
      </c>
      <c r="AV1" s="5" t="s">
        <v>212</v>
      </c>
      <c r="AW1" s="6" t="s">
        <v>36</v>
      </c>
      <c r="AX1" s="6" t="s">
        <v>213</v>
      </c>
      <c r="AY1" s="6" t="s">
        <v>214</v>
      </c>
      <c r="AZ1" s="8" t="s">
        <v>215</v>
      </c>
      <c r="BA1" s="8" t="s">
        <v>43</v>
      </c>
    </row>
    <row r="2" ht="18.0" customHeight="1">
      <c r="A2" s="10" t="s">
        <v>50</v>
      </c>
      <c r="B2" s="10" t="s">
        <v>56</v>
      </c>
      <c r="C2" s="10" t="s">
        <v>53</v>
      </c>
      <c r="D2" s="10" t="s">
        <v>58</v>
      </c>
      <c r="E2" s="10" t="s">
        <v>59</v>
      </c>
      <c r="F2" s="10" t="s">
        <v>60</v>
      </c>
      <c r="G2" s="10" t="s">
        <v>216</v>
      </c>
      <c r="H2" s="10" t="s">
        <v>217</v>
      </c>
      <c r="I2" s="10" t="s">
        <v>139</v>
      </c>
      <c r="J2" s="10" t="s">
        <v>139</v>
      </c>
      <c r="K2" s="10" t="s">
        <v>139</v>
      </c>
      <c r="L2" s="10" t="s">
        <v>139</v>
      </c>
      <c r="M2" s="10" t="s">
        <v>165</v>
      </c>
      <c r="N2" s="10" t="s">
        <v>167</v>
      </c>
      <c r="O2" s="10" t="s">
        <v>139</v>
      </c>
      <c r="P2" s="10" t="s">
        <v>139</v>
      </c>
      <c r="Q2" s="10" t="s">
        <v>139</v>
      </c>
      <c r="R2" s="10" t="s">
        <v>139</v>
      </c>
      <c r="S2" s="10" t="s">
        <v>71</v>
      </c>
      <c r="T2" s="10" t="s">
        <v>138</v>
      </c>
      <c r="U2" s="10" t="s">
        <v>139</v>
      </c>
      <c r="V2" s="10" t="s">
        <v>139</v>
      </c>
      <c r="W2" s="10" t="s">
        <v>139</v>
      </c>
      <c r="X2" s="10" t="s">
        <v>139</v>
      </c>
      <c r="Y2" s="10" t="s">
        <v>139</v>
      </c>
      <c r="Z2" s="10" t="s">
        <v>170</v>
      </c>
      <c r="AA2" s="10" t="s">
        <v>139</v>
      </c>
      <c r="AB2" s="10" t="s">
        <v>218</v>
      </c>
      <c r="AC2" s="10" t="s">
        <v>219</v>
      </c>
      <c r="AD2" s="10" t="s">
        <v>139</v>
      </c>
      <c r="AE2" s="10" t="s">
        <v>139</v>
      </c>
      <c r="AF2" s="10" t="s">
        <v>139</v>
      </c>
      <c r="AG2" s="10" t="s">
        <v>139</v>
      </c>
      <c r="AH2" s="10" t="s">
        <v>165</v>
      </c>
      <c r="AI2" s="10" t="s">
        <v>72</v>
      </c>
      <c r="AJ2" s="10" t="s">
        <v>166</v>
      </c>
      <c r="AK2" s="10" t="s">
        <v>70</v>
      </c>
      <c r="AL2" s="10" t="s">
        <v>166</v>
      </c>
      <c r="AM2" s="10" t="s">
        <v>174</v>
      </c>
      <c r="AN2" s="10" t="s">
        <v>139</v>
      </c>
      <c r="AO2" s="10" t="s">
        <v>139</v>
      </c>
      <c r="AP2" s="10" t="s">
        <v>139</v>
      </c>
      <c r="AQ2" s="10" t="s">
        <v>220</v>
      </c>
      <c r="AR2" s="10" t="s">
        <v>221</v>
      </c>
      <c r="AS2" s="10" t="s">
        <v>139</v>
      </c>
      <c r="AT2" s="10" t="s">
        <v>139</v>
      </c>
      <c r="AU2" s="10" t="s">
        <v>139</v>
      </c>
      <c r="AV2" s="10" t="s">
        <v>139</v>
      </c>
      <c r="AW2" s="10" t="s">
        <v>222</v>
      </c>
      <c r="AX2" s="10"/>
      <c r="AY2" s="10"/>
      <c r="AZ2" s="10"/>
      <c r="BA2" s="10"/>
    </row>
    <row r="21" ht="15.75" customHeight="1"/>
    <row r="22" ht="15.75" customHeight="1"/>
    <row r="23" ht="15.75" customHeight="1"/>
  </sheetData>
  <autoFilter ref="$A$1:$BA$1"/>
  <printOptions/>
  <pageMargins bottom="1.0" footer="0.0" header="0.0" left="0.75" right="0.75" top="1.0"/>
  <pageSetup orientation="landscape"/>
  <drawing r:id="rId1"/>
</worksheet>
</file>